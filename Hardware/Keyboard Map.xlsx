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mato/Library/Mobile Documents/iCloud~md~obsidian/Documents/Kata Hemisphere/Private/Computing/zebra/Hardware/"/>
    </mc:Choice>
  </mc:AlternateContent>
  <xr:revisionPtr revIDLastSave="0" documentId="13_ncr:1_{BFCD230F-1168-BF46-8106-787E5275F930}" xr6:coauthVersionLast="47" xr6:coauthVersionMax="47" xr10:uidLastSave="{00000000-0000-0000-0000-000000000000}"/>
  <bookViews>
    <workbookView xWindow="1360" yWindow="740" windowWidth="28040" windowHeight="18380" xr2:uid="{BE463173-BF5A-4C48-A06D-C94486E014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5" i="1" l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S3" i="1"/>
  <c r="T3" i="1" s="1"/>
  <c r="S4" i="1"/>
  <c r="T4" i="1" s="1"/>
  <c r="S5" i="1"/>
  <c r="T5" i="1" s="1"/>
  <c r="S6" i="1"/>
  <c r="T6" i="1" s="1"/>
  <c r="S7" i="1"/>
  <c r="T7" i="1" s="1"/>
  <c r="S8" i="1"/>
  <c r="T8" i="1" s="1"/>
  <c r="S9" i="1"/>
  <c r="T9" i="1" s="1"/>
  <c r="S10" i="1"/>
  <c r="T10" i="1" s="1"/>
  <c r="S11" i="1"/>
  <c r="T11" i="1" s="1"/>
  <c r="S12" i="1"/>
  <c r="T12" i="1" s="1"/>
  <c r="S13" i="1"/>
  <c r="T13" i="1" s="1"/>
  <c r="S14" i="1"/>
  <c r="T1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S21" i="1"/>
  <c r="T21" i="1" s="1"/>
  <c r="S22" i="1"/>
  <c r="T22" i="1" s="1"/>
  <c r="S23" i="1"/>
  <c r="T23" i="1" s="1"/>
  <c r="S24" i="1"/>
  <c r="T24" i="1" s="1"/>
  <c r="S25" i="1"/>
  <c r="T25" i="1" s="1"/>
  <c r="S26" i="1"/>
  <c r="T26" i="1" s="1"/>
  <c r="S27" i="1"/>
  <c r="T27" i="1" s="1"/>
  <c r="S28" i="1"/>
  <c r="T28" i="1" s="1"/>
  <c r="S29" i="1"/>
  <c r="T29" i="1" s="1"/>
  <c r="S30" i="1"/>
  <c r="T30" i="1" s="1"/>
  <c r="S31" i="1"/>
  <c r="T31" i="1" s="1"/>
  <c r="S32" i="1"/>
  <c r="T32" i="1" s="1"/>
  <c r="S33" i="1"/>
  <c r="T33" i="1" s="1"/>
  <c r="S34" i="1"/>
  <c r="T34" i="1" s="1"/>
  <c r="S35" i="1"/>
  <c r="T35" i="1" s="1"/>
  <c r="S36" i="1"/>
  <c r="T36" i="1" s="1"/>
  <c r="S37" i="1"/>
  <c r="T37" i="1" s="1"/>
  <c r="S38" i="1"/>
  <c r="T38" i="1" s="1"/>
  <c r="S39" i="1"/>
  <c r="T39" i="1" s="1"/>
  <c r="S40" i="1"/>
  <c r="T40" i="1" s="1"/>
  <c r="S41" i="1"/>
  <c r="T41" i="1" s="1"/>
  <c r="S42" i="1"/>
  <c r="T42" i="1" s="1"/>
  <c r="S43" i="1"/>
  <c r="T43" i="1" s="1"/>
  <c r="S44" i="1"/>
  <c r="T44" i="1" s="1"/>
  <c r="S45" i="1"/>
  <c r="T45" i="1" s="1"/>
  <c r="S46" i="1"/>
  <c r="T46" i="1" s="1"/>
  <c r="S47" i="1"/>
  <c r="T47" i="1" s="1"/>
  <c r="S48" i="1"/>
  <c r="T48" i="1" s="1"/>
  <c r="S49" i="1"/>
  <c r="T49" i="1" s="1"/>
  <c r="S50" i="1"/>
  <c r="T50" i="1" s="1"/>
  <c r="S51" i="1"/>
  <c r="T51" i="1" s="1"/>
  <c r="S52" i="1"/>
  <c r="T52" i="1" s="1"/>
  <c r="S53" i="1"/>
  <c r="T53" i="1" s="1"/>
  <c r="S54" i="1"/>
  <c r="T54" i="1" s="1"/>
  <c r="S55" i="1"/>
  <c r="T55" i="1" s="1"/>
  <c r="S56" i="1"/>
  <c r="T56" i="1" s="1"/>
  <c r="S57" i="1"/>
  <c r="T57" i="1" s="1"/>
  <c r="S58" i="1"/>
  <c r="T58" i="1" s="1"/>
  <c r="S59" i="1"/>
  <c r="T59" i="1" s="1"/>
  <c r="S60" i="1"/>
  <c r="T60" i="1" s="1"/>
  <c r="S61" i="1"/>
  <c r="T61" i="1" s="1"/>
  <c r="S62" i="1"/>
  <c r="T62" i="1" s="1"/>
  <c r="S63" i="1"/>
  <c r="T63" i="1" s="1"/>
  <c r="S64" i="1"/>
  <c r="T64" i="1" s="1"/>
  <c r="S65" i="1"/>
  <c r="T65" i="1" s="1"/>
  <c r="S2" i="1"/>
  <c r="T2" i="1" s="1"/>
</calcChain>
</file>

<file path=xl/sharedStrings.xml><?xml version="1.0" encoding="utf-8"?>
<sst xmlns="http://schemas.openxmlformats.org/spreadsheetml/2006/main" count="303" uniqueCount="151">
  <si>
    <t>Port B</t>
  </si>
  <si>
    <t>Port A</t>
  </si>
  <si>
    <t>ASCII</t>
  </si>
  <si>
    <t>`</t>
  </si>
  <si>
    <t>~</t>
  </si>
  <si>
    <t>-</t>
  </si>
  <si>
    <t>=</t>
  </si>
  <si>
    <t>Backspace</t>
  </si>
  <si>
    <t>Tab</t>
  </si>
  <si>
    <t>q</t>
  </si>
  <si>
    <t>w</t>
  </si>
  <si>
    <t>e</t>
  </si>
  <si>
    <t>r</t>
  </si>
  <si>
    <t>t</t>
  </si>
  <si>
    <t>z</t>
  </si>
  <si>
    <t>y</t>
  </si>
  <si>
    <t>u</t>
  </si>
  <si>
    <t>i</t>
  </si>
  <si>
    <t>o</t>
  </si>
  <si>
    <t>p</t>
  </si>
  <si>
    <t>[</t>
  </si>
  <si>
    <t>]</t>
  </si>
  <si>
    <t>\</t>
  </si>
  <si>
    <t>Esc</t>
  </si>
  <si>
    <t>a</t>
  </si>
  <si>
    <t>d</t>
  </si>
  <si>
    <t>f</t>
  </si>
  <si>
    <t>g</t>
  </si>
  <si>
    <t>h</t>
  </si>
  <si>
    <t>j</t>
  </si>
  <si>
    <t>k</t>
  </si>
  <si>
    <t>l</t>
  </si>
  <si>
    <t>;</t>
  </si>
  <si>
    <t>'</t>
  </si>
  <si>
    <t>Enter</t>
  </si>
  <si>
    <t>Shift</t>
  </si>
  <si>
    <t>x</t>
  </si>
  <si>
    <t>c</t>
  </si>
  <si>
    <t>v</t>
  </si>
  <si>
    <t>n</t>
  </si>
  <si>
    <t>b</t>
  </si>
  <si>
    <t>m</t>
  </si>
  <si>
    <t>,</t>
  </si>
  <si>
    <t>.</t>
  </si>
  <si>
    <t>/</t>
  </si>
  <si>
    <t>up</t>
  </si>
  <si>
    <t>Alt</t>
  </si>
  <si>
    <t>Control</t>
  </si>
  <si>
    <t>Space</t>
  </si>
  <si>
    <t>Left</t>
  </si>
  <si>
    <t>Down</t>
  </si>
  <si>
    <t>Right</t>
  </si>
  <si>
    <t>*</t>
  </si>
  <si>
    <t>I</t>
  </si>
  <si>
    <t>K</t>
  </si>
  <si>
    <t>&gt;</t>
  </si>
  <si>
    <t>!</t>
  </si>
  <si>
    <t>Q</t>
  </si>
  <si>
    <t>A</t>
  </si>
  <si>
    <t>Z</t>
  </si>
  <si>
    <t>(</t>
  </si>
  <si>
    <t>O</t>
  </si>
  <si>
    <t>P</t>
  </si>
  <si>
    <t>L</t>
  </si>
  <si>
    <t>&lt;</t>
  </si>
  <si>
    <t>@</t>
  </si>
  <si>
    <t>W</t>
  </si>
  <si>
    <t>s</t>
  </si>
  <si>
    <t>S</t>
  </si>
  <si>
    <t>X</t>
  </si>
  <si>
    <t>)</t>
  </si>
  <si>
    <t>:</t>
  </si>
  <si>
    <t>?</t>
  </si>
  <si>
    <t>#</t>
  </si>
  <si>
    <t>E</t>
  </si>
  <si>
    <t>D</t>
  </si>
  <si>
    <t>C</t>
  </si>
  <si>
    <t>_</t>
  </si>
  <si>
    <t>{</t>
  </si>
  <si>
    <t>"</t>
  </si>
  <si>
    <t>$</t>
  </si>
  <si>
    <t>R</t>
  </si>
  <si>
    <t>F</t>
  </si>
  <si>
    <t>V</t>
  </si>
  <si>
    <t>+</t>
  </si>
  <si>
    <t>}</t>
  </si>
  <si>
    <t>Caps Lock</t>
  </si>
  <si>
    <t>%</t>
  </si>
  <si>
    <t>T</t>
  </si>
  <si>
    <t>G</t>
  </si>
  <si>
    <t>B</t>
  </si>
  <si>
    <t>|</t>
  </si>
  <si>
    <t>^</t>
  </si>
  <si>
    <t>Y</t>
  </si>
  <si>
    <t>H</t>
  </si>
  <si>
    <t>N</t>
  </si>
  <si>
    <t>&amp;</t>
  </si>
  <si>
    <t>U</t>
  </si>
  <si>
    <t>J</t>
  </si>
  <si>
    <t>M</t>
  </si>
  <si>
    <t>Sec. ASCII</t>
  </si>
  <si>
    <t>Sign</t>
  </si>
  <si>
    <t>Sec. Sign</t>
  </si>
  <si>
    <t>7E</t>
  </si>
  <si>
    <t>2A</t>
  </si>
  <si>
    <t>6B</t>
  </si>
  <si>
    <t>4B</t>
  </si>
  <si>
    <t>2C</t>
  </si>
  <si>
    <t>6F</t>
  </si>
  <si>
    <t>4F</t>
  </si>
  <si>
    <t>4C</t>
  </si>
  <si>
    <t>6C</t>
  </si>
  <si>
    <t>5A</t>
  </si>
  <si>
    <t>7A</t>
  </si>
  <si>
    <t>2E</t>
  </si>
  <si>
    <t>3B</t>
  </si>
  <si>
    <t>3A</t>
  </si>
  <si>
    <t>2F</t>
  </si>
  <si>
    <t>3F</t>
  </si>
  <si>
    <t>3C</t>
  </si>
  <si>
    <t>3E</t>
  </si>
  <si>
    <t>2D</t>
  </si>
  <si>
    <t>5F</t>
  </si>
  <si>
    <t>5B</t>
  </si>
  <si>
    <t>7B</t>
  </si>
  <si>
    <t>3D</t>
  </si>
  <si>
    <t>2B</t>
  </si>
  <si>
    <t>7D</t>
  </si>
  <si>
    <t>5D</t>
  </si>
  <si>
    <t>0D</t>
  </si>
  <si>
    <t>1B</t>
  </si>
  <si>
    <t>7C</t>
  </si>
  <si>
    <t>5C</t>
  </si>
  <si>
    <t>5E</t>
  </si>
  <si>
    <t>4E</t>
  </si>
  <si>
    <t>6E</t>
  </si>
  <si>
    <t>4A</t>
  </si>
  <si>
    <t>6A</t>
  </si>
  <si>
    <t>4D</t>
  </si>
  <si>
    <t>6D</t>
  </si>
  <si>
    <t>0</t>
  </si>
  <si>
    <t>Index</t>
  </si>
  <si>
    <t>00000001</t>
  </si>
  <si>
    <t>00000010</t>
  </si>
  <si>
    <t>00000100</t>
  </si>
  <si>
    <t>00001000</t>
  </si>
  <si>
    <t>00010000</t>
  </si>
  <si>
    <t>00100000</t>
  </si>
  <si>
    <t>01000000</t>
  </si>
  <si>
    <t>10000000</t>
  </si>
  <si>
    <t>IndexHex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</si>
</sst>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7FC73-BD6D-B64B-8EE1-A3A8FA2A6FD2}">
  <dimension ref="A1:T65"/>
  <sheetViews>
    <sheetView tabSelected="1" topLeftCell="A28" zoomScale="150" workbookViewId="0">
      <selection activeCell="H38" sqref="H38"/>
    </sheetView>
  </sheetViews>
  <sheetFormatPr baseColWidth="10" defaultRowHeight="16" x14ac:dyDescent="0.2"/>
  <sheetData>
    <row r="1" spans="1:20" x14ac:dyDescent="0.2">
      <c r="A1" t="s">
        <v>141</v>
      </c>
      <c r="B1" t="s">
        <v>150</v>
      </c>
      <c r="C1" t="s">
        <v>0</v>
      </c>
      <c r="D1" t="s">
        <v>1</v>
      </c>
      <c r="E1" t="s">
        <v>101</v>
      </c>
      <c r="F1" t="s">
        <v>102</v>
      </c>
      <c r="G1" s="2" t="s">
        <v>2</v>
      </c>
      <c r="H1" s="2" t="s">
        <v>100</v>
      </c>
      <c r="N1" t="s">
        <v>0</v>
      </c>
      <c r="O1" t="s">
        <v>1</v>
      </c>
      <c r="P1" t="s">
        <v>0</v>
      </c>
      <c r="Q1" t="s">
        <v>1</v>
      </c>
      <c r="T1" t="s">
        <v>141</v>
      </c>
    </row>
    <row r="2" spans="1:20" x14ac:dyDescent="0.2">
      <c r="A2">
        <v>0</v>
      </c>
      <c r="B2" t="str">
        <f>DEC2HEX(A2)</f>
        <v>0</v>
      </c>
      <c r="C2">
        <v>0</v>
      </c>
      <c r="D2">
        <v>0</v>
      </c>
      <c r="E2" t="s">
        <v>3</v>
      </c>
      <c r="F2" t="s">
        <v>4</v>
      </c>
      <c r="G2" s="2">
        <v>60</v>
      </c>
      <c r="H2" s="2" t="s">
        <v>103</v>
      </c>
      <c r="N2" s="2" t="s">
        <v>142</v>
      </c>
      <c r="O2" s="2" t="s">
        <v>142</v>
      </c>
      <c r="P2">
        <v>0</v>
      </c>
      <c r="Q2">
        <v>0</v>
      </c>
      <c r="S2">
        <f>_xlfn.BITLSHIFT(P2,3)</f>
        <v>0</v>
      </c>
      <c r="T2">
        <f>Q2+S2</f>
        <v>0</v>
      </c>
    </row>
    <row r="3" spans="1:20" x14ac:dyDescent="0.2">
      <c r="A3">
        <v>1</v>
      </c>
      <c r="B3" t="str">
        <f t="shared" ref="B3:B65" si="0">DEC2HEX(A3)</f>
        <v>1</v>
      </c>
      <c r="C3">
        <v>0</v>
      </c>
      <c r="D3">
        <v>1</v>
      </c>
      <c r="E3">
        <v>8</v>
      </c>
      <c r="F3" t="s">
        <v>52</v>
      </c>
      <c r="G3" s="2">
        <v>38</v>
      </c>
      <c r="H3" s="2" t="s">
        <v>104</v>
      </c>
      <c r="N3" s="2" t="s">
        <v>142</v>
      </c>
      <c r="O3" s="2" t="s">
        <v>143</v>
      </c>
      <c r="P3">
        <v>0</v>
      </c>
      <c r="Q3">
        <v>1</v>
      </c>
      <c r="S3">
        <f t="shared" ref="S3:S65" si="1">_xlfn.BITLSHIFT(P3,3)</f>
        <v>0</v>
      </c>
      <c r="T3">
        <f t="shared" ref="T3:T65" si="2">Q3+S3</f>
        <v>1</v>
      </c>
    </row>
    <row r="4" spans="1:20" x14ac:dyDescent="0.2">
      <c r="A4">
        <v>2</v>
      </c>
      <c r="B4" t="str">
        <f t="shared" si="0"/>
        <v>2</v>
      </c>
      <c r="C4">
        <v>0</v>
      </c>
      <c r="D4">
        <v>2</v>
      </c>
      <c r="E4" t="s">
        <v>8</v>
      </c>
      <c r="G4" s="2" t="s">
        <v>140</v>
      </c>
      <c r="H4" s="3" t="s">
        <v>140</v>
      </c>
      <c r="N4" s="2" t="s">
        <v>142</v>
      </c>
      <c r="O4" s="2" t="s">
        <v>144</v>
      </c>
      <c r="P4">
        <v>0</v>
      </c>
      <c r="Q4">
        <v>2</v>
      </c>
      <c r="S4">
        <f t="shared" si="1"/>
        <v>0</v>
      </c>
      <c r="T4">
        <f t="shared" si="2"/>
        <v>2</v>
      </c>
    </row>
    <row r="5" spans="1:20" x14ac:dyDescent="0.2">
      <c r="A5">
        <v>3</v>
      </c>
      <c r="B5" t="str">
        <f t="shared" si="0"/>
        <v>3</v>
      </c>
      <c r="C5">
        <v>0</v>
      </c>
      <c r="D5">
        <v>3</v>
      </c>
      <c r="E5" t="s">
        <v>17</v>
      </c>
      <c r="F5" t="s">
        <v>53</v>
      </c>
      <c r="G5" s="2">
        <v>69</v>
      </c>
      <c r="H5" s="2">
        <v>49</v>
      </c>
      <c r="N5" s="2" t="s">
        <v>142</v>
      </c>
      <c r="O5" s="2" t="s">
        <v>145</v>
      </c>
      <c r="P5">
        <v>0</v>
      </c>
      <c r="Q5">
        <v>3</v>
      </c>
      <c r="S5">
        <f t="shared" si="1"/>
        <v>0</v>
      </c>
      <c r="T5">
        <f t="shared" si="2"/>
        <v>3</v>
      </c>
    </row>
    <row r="6" spans="1:20" x14ac:dyDescent="0.2">
      <c r="A6">
        <v>4</v>
      </c>
      <c r="B6" t="str">
        <f t="shared" si="0"/>
        <v>4</v>
      </c>
      <c r="C6">
        <v>0</v>
      </c>
      <c r="D6">
        <v>4</v>
      </c>
      <c r="E6" t="s">
        <v>23</v>
      </c>
      <c r="G6" s="2" t="s">
        <v>130</v>
      </c>
      <c r="H6" s="3" t="s">
        <v>140</v>
      </c>
      <c r="N6" s="2" t="s">
        <v>142</v>
      </c>
      <c r="O6" s="2" t="s">
        <v>146</v>
      </c>
      <c r="P6">
        <v>0</v>
      </c>
      <c r="Q6">
        <v>4</v>
      </c>
      <c r="S6">
        <f t="shared" si="1"/>
        <v>0</v>
      </c>
      <c r="T6">
        <f t="shared" si="2"/>
        <v>4</v>
      </c>
    </row>
    <row r="7" spans="1:20" x14ac:dyDescent="0.2">
      <c r="A7">
        <v>5</v>
      </c>
      <c r="B7" t="str">
        <f t="shared" si="0"/>
        <v>5</v>
      </c>
      <c r="C7">
        <v>0</v>
      </c>
      <c r="D7">
        <v>5</v>
      </c>
      <c r="E7" t="s">
        <v>30</v>
      </c>
      <c r="F7" t="s">
        <v>54</v>
      </c>
      <c r="G7" s="2" t="s">
        <v>105</v>
      </c>
      <c r="H7" s="2" t="s">
        <v>106</v>
      </c>
      <c r="N7" s="2" t="s">
        <v>142</v>
      </c>
      <c r="O7" s="2" t="s">
        <v>147</v>
      </c>
      <c r="P7">
        <v>0</v>
      </c>
      <c r="Q7">
        <v>5</v>
      </c>
      <c r="S7">
        <f t="shared" si="1"/>
        <v>0</v>
      </c>
      <c r="T7">
        <f t="shared" si="2"/>
        <v>5</v>
      </c>
    </row>
    <row r="8" spans="1:20" x14ac:dyDescent="0.2">
      <c r="A8">
        <v>6</v>
      </c>
      <c r="B8" t="str">
        <f t="shared" si="0"/>
        <v>6</v>
      </c>
      <c r="C8">
        <v>0</v>
      </c>
      <c r="D8">
        <v>6</v>
      </c>
      <c r="E8" t="s">
        <v>35</v>
      </c>
      <c r="G8" s="2" t="s">
        <v>140</v>
      </c>
      <c r="H8" s="3" t="s">
        <v>140</v>
      </c>
      <c r="N8" s="2" t="s">
        <v>142</v>
      </c>
      <c r="O8" s="2" t="s">
        <v>148</v>
      </c>
      <c r="P8">
        <v>0</v>
      </c>
      <c r="Q8">
        <v>6</v>
      </c>
      <c r="S8">
        <f t="shared" si="1"/>
        <v>0</v>
      </c>
      <c r="T8">
        <f t="shared" si="2"/>
        <v>6</v>
      </c>
    </row>
    <row r="9" spans="1:20" x14ac:dyDescent="0.2">
      <c r="A9">
        <v>7</v>
      </c>
      <c r="B9" t="str">
        <f t="shared" si="0"/>
        <v>7</v>
      </c>
      <c r="C9">
        <v>0</v>
      </c>
      <c r="D9">
        <v>7</v>
      </c>
      <c r="E9" t="s">
        <v>42</v>
      </c>
      <c r="F9" t="s">
        <v>64</v>
      </c>
      <c r="G9" s="2" t="s">
        <v>107</v>
      </c>
      <c r="H9" s="2" t="s">
        <v>119</v>
      </c>
      <c r="N9" s="2" t="s">
        <v>142</v>
      </c>
      <c r="O9" s="2" t="s">
        <v>149</v>
      </c>
      <c r="P9">
        <v>0</v>
      </c>
      <c r="Q9">
        <v>7</v>
      </c>
      <c r="S9">
        <f t="shared" si="1"/>
        <v>0</v>
      </c>
      <c r="T9">
        <f t="shared" si="2"/>
        <v>7</v>
      </c>
    </row>
    <row r="10" spans="1:20" x14ac:dyDescent="0.2">
      <c r="A10">
        <v>8</v>
      </c>
      <c r="B10" t="str">
        <f t="shared" si="0"/>
        <v>8</v>
      </c>
      <c r="C10">
        <v>1</v>
      </c>
      <c r="D10">
        <v>0</v>
      </c>
      <c r="E10">
        <v>1</v>
      </c>
      <c r="F10" t="s">
        <v>56</v>
      </c>
      <c r="G10" s="2">
        <v>31</v>
      </c>
      <c r="H10" s="2">
        <v>21</v>
      </c>
      <c r="N10" s="2" t="s">
        <v>143</v>
      </c>
      <c r="O10" s="2" t="s">
        <v>142</v>
      </c>
      <c r="P10">
        <v>1</v>
      </c>
      <c r="Q10">
        <v>0</v>
      </c>
      <c r="S10">
        <f t="shared" si="1"/>
        <v>8</v>
      </c>
      <c r="T10">
        <f t="shared" si="2"/>
        <v>8</v>
      </c>
    </row>
    <row r="11" spans="1:20" x14ac:dyDescent="0.2">
      <c r="A11">
        <v>9</v>
      </c>
      <c r="B11" t="str">
        <f t="shared" si="0"/>
        <v>9</v>
      </c>
      <c r="C11">
        <v>1</v>
      </c>
      <c r="D11">
        <v>1</v>
      </c>
      <c r="E11">
        <v>9</v>
      </c>
      <c r="F11" t="s">
        <v>60</v>
      </c>
      <c r="G11" s="2">
        <v>39</v>
      </c>
      <c r="H11" s="2">
        <v>28</v>
      </c>
      <c r="N11" s="2" t="s">
        <v>143</v>
      </c>
      <c r="O11" s="2" t="s">
        <v>143</v>
      </c>
      <c r="P11">
        <v>1</v>
      </c>
      <c r="Q11">
        <v>1</v>
      </c>
      <c r="S11">
        <f t="shared" si="1"/>
        <v>8</v>
      </c>
      <c r="T11">
        <f t="shared" si="2"/>
        <v>9</v>
      </c>
    </row>
    <row r="12" spans="1:20" x14ac:dyDescent="0.2">
      <c r="A12">
        <v>10</v>
      </c>
      <c r="B12" t="str">
        <f t="shared" si="0"/>
        <v>A</v>
      </c>
      <c r="C12">
        <v>1</v>
      </c>
      <c r="D12">
        <v>2</v>
      </c>
      <c r="E12" t="s">
        <v>9</v>
      </c>
      <c r="F12" t="s">
        <v>57</v>
      </c>
      <c r="G12" s="2">
        <v>71</v>
      </c>
      <c r="H12" s="2">
        <v>51</v>
      </c>
      <c r="N12" s="2" t="s">
        <v>143</v>
      </c>
      <c r="O12" s="2" t="s">
        <v>144</v>
      </c>
      <c r="P12">
        <v>1</v>
      </c>
      <c r="Q12">
        <v>2</v>
      </c>
      <c r="S12">
        <f t="shared" si="1"/>
        <v>8</v>
      </c>
      <c r="T12">
        <f t="shared" si="2"/>
        <v>10</v>
      </c>
    </row>
    <row r="13" spans="1:20" x14ac:dyDescent="0.2">
      <c r="A13">
        <v>11</v>
      </c>
      <c r="B13" t="str">
        <f t="shared" si="0"/>
        <v>B</v>
      </c>
      <c r="C13">
        <v>1</v>
      </c>
      <c r="D13">
        <v>3</v>
      </c>
      <c r="E13" t="s">
        <v>18</v>
      </c>
      <c r="F13" t="s">
        <v>61</v>
      </c>
      <c r="G13" s="2" t="s">
        <v>108</v>
      </c>
      <c r="H13" s="2" t="s">
        <v>109</v>
      </c>
      <c r="N13" s="2" t="s">
        <v>143</v>
      </c>
      <c r="O13" s="2" t="s">
        <v>145</v>
      </c>
      <c r="P13">
        <v>1</v>
      </c>
      <c r="Q13">
        <v>3</v>
      </c>
      <c r="S13">
        <f t="shared" si="1"/>
        <v>8</v>
      </c>
      <c r="T13">
        <f t="shared" si="2"/>
        <v>11</v>
      </c>
    </row>
    <row r="14" spans="1:20" x14ac:dyDescent="0.2">
      <c r="A14">
        <v>12</v>
      </c>
      <c r="B14" t="str">
        <f t="shared" si="0"/>
        <v>C</v>
      </c>
      <c r="C14">
        <v>1</v>
      </c>
      <c r="D14">
        <v>4</v>
      </c>
      <c r="E14" t="s">
        <v>24</v>
      </c>
      <c r="F14" t="s">
        <v>58</v>
      </c>
      <c r="G14" s="2">
        <v>61</v>
      </c>
      <c r="H14" s="2">
        <v>41</v>
      </c>
      <c r="N14" s="2" t="s">
        <v>143</v>
      </c>
      <c r="O14" s="2" t="s">
        <v>146</v>
      </c>
      <c r="P14">
        <v>1</v>
      </c>
      <c r="Q14">
        <v>4</v>
      </c>
      <c r="S14">
        <f t="shared" si="1"/>
        <v>8</v>
      </c>
      <c r="T14">
        <f t="shared" si="2"/>
        <v>12</v>
      </c>
    </row>
    <row r="15" spans="1:20" x14ac:dyDescent="0.2">
      <c r="A15">
        <v>13</v>
      </c>
      <c r="B15" t="str">
        <f t="shared" si="0"/>
        <v>D</v>
      </c>
      <c r="C15">
        <v>1</v>
      </c>
      <c r="D15">
        <v>5</v>
      </c>
      <c r="E15" t="s">
        <v>31</v>
      </c>
      <c r="F15" t="s">
        <v>63</v>
      </c>
      <c r="G15" s="2" t="s">
        <v>111</v>
      </c>
      <c r="H15" s="2" t="s">
        <v>110</v>
      </c>
      <c r="N15" s="2" t="s">
        <v>143</v>
      </c>
      <c r="O15" s="2" t="s">
        <v>147</v>
      </c>
      <c r="P15">
        <v>1</v>
      </c>
      <c r="Q15">
        <v>5</v>
      </c>
      <c r="S15">
        <f t="shared" si="1"/>
        <v>8</v>
      </c>
      <c r="T15">
        <f t="shared" si="2"/>
        <v>13</v>
      </c>
    </row>
    <row r="16" spans="1:20" x14ac:dyDescent="0.2">
      <c r="A16">
        <v>14</v>
      </c>
      <c r="B16" t="str">
        <f t="shared" si="0"/>
        <v>E</v>
      </c>
      <c r="C16">
        <v>1</v>
      </c>
      <c r="D16">
        <v>6</v>
      </c>
      <c r="E16" t="s">
        <v>14</v>
      </c>
      <c r="F16" t="s">
        <v>59</v>
      </c>
      <c r="G16" s="2" t="s">
        <v>113</v>
      </c>
      <c r="H16" s="2" t="s">
        <v>112</v>
      </c>
      <c r="N16" s="2" t="s">
        <v>143</v>
      </c>
      <c r="O16" s="2" t="s">
        <v>148</v>
      </c>
      <c r="P16">
        <v>1</v>
      </c>
      <c r="Q16">
        <v>6</v>
      </c>
      <c r="S16">
        <f t="shared" si="1"/>
        <v>8</v>
      </c>
      <c r="T16">
        <f t="shared" si="2"/>
        <v>14</v>
      </c>
    </row>
    <row r="17" spans="1:20" x14ac:dyDescent="0.2">
      <c r="A17">
        <v>15</v>
      </c>
      <c r="B17" t="str">
        <f t="shared" si="0"/>
        <v>F</v>
      </c>
      <c r="C17">
        <v>1</v>
      </c>
      <c r="D17">
        <v>7</v>
      </c>
      <c r="E17" t="s">
        <v>43</v>
      </c>
      <c r="F17" t="s">
        <v>55</v>
      </c>
      <c r="G17" s="2" t="s">
        <v>114</v>
      </c>
      <c r="H17" s="2" t="s">
        <v>120</v>
      </c>
      <c r="N17" s="2" t="s">
        <v>143</v>
      </c>
      <c r="O17" s="2" t="s">
        <v>149</v>
      </c>
      <c r="P17">
        <v>1</v>
      </c>
      <c r="Q17">
        <v>7</v>
      </c>
      <c r="S17">
        <f t="shared" si="1"/>
        <v>8</v>
      </c>
      <c r="T17">
        <f t="shared" si="2"/>
        <v>15</v>
      </c>
    </row>
    <row r="18" spans="1:20" x14ac:dyDescent="0.2">
      <c r="A18">
        <v>16</v>
      </c>
      <c r="B18" t="str">
        <f t="shared" si="0"/>
        <v>10</v>
      </c>
      <c r="C18">
        <v>2</v>
      </c>
      <c r="D18">
        <v>0</v>
      </c>
      <c r="E18">
        <v>2</v>
      </c>
      <c r="F18" t="s">
        <v>65</v>
      </c>
      <c r="G18" s="2">
        <v>32</v>
      </c>
      <c r="H18" s="2">
        <v>40</v>
      </c>
      <c r="N18" s="2" t="s">
        <v>144</v>
      </c>
      <c r="O18" s="2" t="s">
        <v>142</v>
      </c>
      <c r="P18">
        <v>2</v>
      </c>
      <c r="Q18">
        <v>0</v>
      </c>
      <c r="S18">
        <f t="shared" si="1"/>
        <v>16</v>
      </c>
      <c r="T18">
        <f t="shared" si="2"/>
        <v>16</v>
      </c>
    </row>
    <row r="19" spans="1:20" x14ac:dyDescent="0.2">
      <c r="A19">
        <v>17</v>
      </c>
      <c r="B19" t="str">
        <f t="shared" si="0"/>
        <v>11</v>
      </c>
      <c r="C19">
        <v>2</v>
      </c>
      <c r="D19">
        <v>1</v>
      </c>
      <c r="E19">
        <v>0</v>
      </c>
      <c r="F19" t="s">
        <v>70</v>
      </c>
      <c r="G19" s="2">
        <v>30</v>
      </c>
      <c r="H19" s="2">
        <v>29</v>
      </c>
      <c r="N19" s="2" t="s">
        <v>144</v>
      </c>
      <c r="O19" s="2" t="s">
        <v>143</v>
      </c>
      <c r="P19">
        <v>2</v>
      </c>
      <c r="Q19">
        <v>1</v>
      </c>
      <c r="S19">
        <f t="shared" si="1"/>
        <v>16</v>
      </c>
      <c r="T19">
        <f t="shared" si="2"/>
        <v>17</v>
      </c>
    </row>
    <row r="20" spans="1:20" x14ac:dyDescent="0.2">
      <c r="A20">
        <v>18</v>
      </c>
      <c r="B20" t="str">
        <f t="shared" si="0"/>
        <v>12</v>
      </c>
      <c r="C20">
        <v>2</v>
      </c>
      <c r="D20">
        <v>2</v>
      </c>
      <c r="E20" t="s">
        <v>10</v>
      </c>
      <c r="F20" t="s">
        <v>66</v>
      </c>
      <c r="G20" s="2">
        <v>77</v>
      </c>
      <c r="H20" s="2">
        <v>57</v>
      </c>
      <c r="N20" s="2" t="s">
        <v>144</v>
      </c>
      <c r="O20" s="2" t="s">
        <v>144</v>
      </c>
      <c r="P20">
        <v>2</v>
      </c>
      <c r="Q20">
        <v>2</v>
      </c>
      <c r="S20">
        <f t="shared" si="1"/>
        <v>16</v>
      </c>
      <c r="T20">
        <f t="shared" si="2"/>
        <v>18</v>
      </c>
    </row>
    <row r="21" spans="1:20" x14ac:dyDescent="0.2">
      <c r="A21">
        <v>19</v>
      </c>
      <c r="B21" t="str">
        <f t="shared" si="0"/>
        <v>13</v>
      </c>
      <c r="C21">
        <v>2</v>
      </c>
      <c r="D21">
        <v>3</v>
      </c>
      <c r="E21" t="s">
        <v>19</v>
      </c>
      <c r="F21" t="s">
        <v>62</v>
      </c>
      <c r="G21" s="2">
        <v>70</v>
      </c>
      <c r="H21" s="2">
        <v>50</v>
      </c>
      <c r="N21" s="2" t="s">
        <v>144</v>
      </c>
      <c r="O21" s="2" t="s">
        <v>145</v>
      </c>
      <c r="P21">
        <v>2</v>
      </c>
      <c r="Q21">
        <v>3</v>
      </c>
      <c r="S21">
        <f t="shared" si="1"/>
        <v>16</v>
      </c>
      <c r="T21">
        <f t="shared" si="2"/>
        <v>19</v>
      </c>
    </row>
    <row r="22" spans="1:20" x14ac:dyDescent="0.2">
      <c r="A22">
        <v>20</v>
      </c>
      <c r="B22" t="str">
        <f t="shared" si="0"/>
        <v>14</v>
      </c>
      <c r="C22">
        <v>2</v>
      </c>
      <c r="D22">
        <v>4</v>
      </c>
      <c r="E22" t="s">
        <v>67</v>
      </c>
      <c r="F22" t="s">
        <v>68</v>
      </c>
      <c r="G22" s="2">
        <v>73</v>
      </c>
      <c r="H22" s="2">
        <v>53</v>
      </c>
      <c r="N22" s="2" t="s">
        <v>144</v>
      </c>
      <c r="O22" s="2" t="s">
        <v>146</v>
      </c>
      <c r="P22">
        <v>2</v>
      </c>
      <c r="Q22">
        <v>4</v>
      </c>
      <c r="S22">
        <f t="shared" si="1"/>
        <v>16</v>
      </c>
      <c r="T22">
        <f t="shared" si="2"/>
        <v>20</v>
      </c>
    </row>
    <row r="23" spans="1:20" x14ac:dyDescent="0.2">
      <c r="A23">
        <v>21</v>
      </c>
      <c r="B23" t="str">
        <f t="shared" si="0"/>
        <v>15</v>
      </c>
      <c r="C23">
        <v>2</v>
      </c>
      <c r="D23">
        <v>5</v>
      </c>
      <c r="E23" t="s">
        <v>32</v>
      </c>
      <c r="F23" t="s">
        <v>71</v>
      </c>
      <c r="G23" s="2" t="s">
        <v>115</v>
      </c>
      <c r="H23" s="2" t="s">
        <v>116</v>
      </c>
      <c r="N23" s="2" t="s">
        <v>144</v>
      </c>
      <c r="O23" s="2" t="s">
        <v>147</v>
      </c>
      <c r="P23">
        <v>2</v>
      </c>
      <c r="Q23">
        <v>5</v>
      </c>
      <c r="S23">
        <f t="shared" si="1"/>
        <v>16</v>
      </c>
      <c r="T23">
        <f t="shared" si="2"/>
        <v>21</v>
      </c>
    </row>
    <row r="24" spans="1:20" x14ac:dyDescent="0.2">
      <c r="A24">
        <v>22</v>
      </c>
      <c r="B24" t="str">
        <f t="shared" si="0"/>
        <v>16</v>
      </c>
      <c r="C24">
        <v>2</v>
      </c>
      <c r="D24">
        <v>6</v>
      </c>
      <c r="E24" t="s">
        <v>36</v>
      </c>
      <c r="F24" t="s">
        <v>69</v>
      </c>
      <c r="G24" s="2">
        <v>78</v>
      </c>
      <c r="H24" s="2">
        <v>58</v>
      </c>
      <c r="N24" s="2" t="s">
        <v>144</v>
      </c>
      <c r="O24" s="2" t="s">
        <v>148</v>
      </c>
      <c r="P24">
        <v>2</v>
      </c>
      <c r="Q24">
        <v>6</v>
      </c>
      <c r="S24">
        <f t="shared" si="1"/>
        <v>16</v>
      </c>
      <c r="T24">
        <f t="shared" si="2"/>
        <v>22</v>
      </c>
    </row>
    <row r="25" spans="1:20" x14ac:dyDescent="0.2">
      <c r="A25">
        <v>23</v>
      </c>
      <c r="B25" t="str">
        <f t="shared" si="0"/>
        <v>17</v>
      </c>
      <c r="C25">
        <v>2</v>
      </c>
      <c r="D25">
        <v>7</v>
      </c>
      <c r="E25" t="s">
        <v>44</v>
      </c>
      <c r="F25" t="s">
        <v>72</v>
      </c>
      <c r="G25" s="2" t="s">
        <v>117</v>
      </c>
      <c r="H25" s="2" t="s">
        <v>118</v>
      </c>
      <c r="N25" s="2" t="s">
        <v>144</v>
      </c>
      <c r="O25" s="2" t="s">
        <v>149</v>
      </c>
      <c r="P25">
        <v>2</v>
      </c>
      <c r="Q25">
        <v>7</v>
      </c>
      <c r="S25">
        <f t="shared" si="1"/>
        <v>16</v>
      </c>
      <c r="T25">
        <f t="shared" si="2"/>
        <v>23</v>
      </c>
    </row>
    <row r="26" spans="1:20" x14ac:dyDescent="0.2">
      <c r="A26">
        <v>24</v>
      </c>
      <c r="B26" t="str">
        <f t="shared" si="0"/>
        <v>18</v>
      </c>
      <c r="C26">
        <v>3</v>
      </c>
      <c r="D26">
        <v>0</v>
      </c>
      <c r="E26">
        <v>3</v>
      </c>
      <c r="F26" t="s">
        <v>73</v>
      </c>
      <c r="G26" s="2">
        <v>33</v>
      </c>
      <c r="H26" s="2">
        <v>23</v>
      </c>
      <c r="N26" s="2" t="s">
        <v>145</v>
      </c>
      <c r="O26" s="2" t="s">
        <v>142</v>
      </c>
      <c r="P26">
        <v>3</v>
      </c>
      <c r="Q26">
        <v>0</v>
      </c>
      <c r="S26">
        <f t="shared" si="1"/>
        <v>24</v>
      </c>
      <c r="T26">
        <f t="shared" si="2"/>
        <v>24</v>
      </c>
    </row>
    <row r="27" spans="1:20" x14ac:dyDescent="0.2">
      <c r="A27">
        <v>25</v>
      </c>
      <c r="B27" t="str">
        <f t="shared" si="0"/>
        <v>19</v>
      </c>
      <c r="C27">
        <v>3</v>
      </c>
      <c r="D27">
        <v>1</v>
      </c>
      <c r="E27" t="s">
        <v>5</v>
      </c>
      <c r="F27" t="s">
        <v>77</v>
      </c>
      <c r="G27" s="2" t="s">
        <v>121</v>
      </c>
      <c r="H27" s="2" t="s">
        <v>122</v>
      </c>
      <c r="N27" s="2" t="s">
        <v>145</v>
      </c>
      <c r="O27" s="2" t="s">
        <v>143</v>
      </c>
      <c r="P27">
        <v>3</v>
      </c>
      <c r="Q27">
        <v>1</v>
      </c>
      <c r="S27">
        <f t="shared" si="1"/>
        <v>24</v>
      </c>
      <c r="T27">
        <f t="shared" si="2"/>
        <v>25</v>
      </c>
    </row>
    <row r="28" spans="1:20" x14ac:dyDescent="0.2">
      <c r="A28">
        <v>26</v>
      </c>
      <c r="B28" t="str">
        <f t="shared" si="0"/>
        <v>1A</v>
      </c>
      <c r="C28">
        <v>3</v>
      </c>
      <c r="D28">
        <v>2</v>
      </c>
      <c r="E28" t="s">
        <v>11</v>
      </c>
      <c r="F28" t="s">
        <v>74</v>
      </c>
      <c r="G28" s="2">
        <v>65</v>
      </c>
      <c r="H28" s="2">
        <v>45</v>
      </c>
      <c r="N28" s="2" t="s">
        <v>145</v>
      </c>
      <c r="O28" s="2" t="s">
        <v>144</v>
      </c>
      <c r="P28">
        <v>3</v>
      </c>
      <c r="Q28">
        <v>2</v>
      </c>
      <c r="S28">
        <f t="shared" si="1"/>
        <v>24</v>
      </c>
      <c r="T28">
        <f t="shared" si="2"/>
        <v>26</v>
      </c>
    </row>
    <row r="29" spans="1:20" x14ac:dyDescent="0.2">
      <c r="A29">
        <v>27</v>
      </c>
      <c r="B29" t="str">
        <f t="shared" si="0"/>
        <v>1B</v>
      </c>
      <c r="C29">
        <v>3</v>
      </c>
      <c r="D29">
        <v>3</v>
      </c>
      <c r="E29" t="s">
        <v>20</v>
      </c>
      <c r="F29" t="s">
        <v>78</v>
      </c>
      <c r="G29" s="2" t="s">
        <v>123</v>
      </c>
      <c r="H29" s="2" t="s">
        <v>124</v>
      </c>
      <c r="N29" s="2" t="s">
        <v>145</v>
      </c>
      <c r="O29" s="2" t="s">
        <v>145</v>
      </c>
      <c r="P29">
        <v>3</v>
      </c>
      <c r="Q29">
        <v>3</v>
      </c>
      <c r="S29">
        <f t="shared" si="1"/>
        <v>24</v>
      </c>
      <c r="T29">
        <f t="shared" si="2"/>
        <v>27</v>
      </c>
    </row>
    <row r="30" spans="1:20" x14ac:dyDescent="0.2">
      <c r="A30">
        <v>28</v>
      </c>
      <c r="B30" t="str">
        <f t="shared" si="0"/>
        <v>1C</v>
      </c>
      <c r="C30">
        <v>3</v>
      </c>
      <c r="D30">
        <v>4</v>
      </c>
      <c r="E30" t="s">
        <v>25</v>
      </c>
      <c r="F30" t="s">
        <v>75</v>
      </c>
      <c r="G30" s="2">
        <v>64</v>
      </c>
      <c r="H30" s="2">
        <v>44</v>
      </c>
      <c r="N30" s="2" t="s">
        <v>145</v>
      </c>
      <c r="O30" s="2" t="s">
        <v>146</v>
      </c>
      <c r="P30">
        <v>3</v>
      </c>
      <c r="Q30">
        <v>4</v>
      </c>
      <c r="S30">
        <f t="shared" si="1"/>
        <v>24</v>
      </c>
      <c r="T30">
        <f t="shared" si="2"/>
        <v>28</v>
      </c>
    </row>
    <row r="31" spans="1:20" x14ac:dyDescent="0.2">
      <c r="A31">
        <v>29</v>
      </c>
      <c r="B31" t="str">
        <f t="shared" si="0"/>
        <v>1D</v>
      </c>
      <c r="C31">
        <v>3</v>
      </c>
      <c r="D31">
        <v>5</v>
      </c>
      <c r="E31" s="1" t="s">
        <v>33</v>
      </c>
      <c r="F31" t="s">
        <v>79</v>
      </c>
      <c r="G31" s="2">
        <v>27</v>
      </c>
      <c r="H31" s="2">
        <v>22</v>
      </c>
      <c r="N31" s="2" t="s">
        <v>145</v>
      </c>
      <c r="O31" s="2" t="s">
        <v>147</v>
      </c>
      <c r="P31">
        <v>3</v>
      </c>
      <c r="Q31">
        <v>5</v>
      </c>
      <c r="S31">
        <f t="shared" si="1"/>
        <v>24</v>
      </c>
      <c r="T31">
        <f t="shared" si="2"/>
        <v>29</v>
      </c>
    </row>
    <row r="32" spans="1:20" x14ac:dyDescent="0.2">
      <c r="A32">
        <v>30</v>
      </c>
      <c r="B32" t="str">
        <f t="shared" si="0"/>
        <v>1E</v>
      </c>
      <c r="C32">
        <v>3</v>
      </c>
      <c r="D32">
        <v>6</v>
      </c>
      <c r="E32" t="s">
        <v>37</v>
      </c>
      <c r="F32" t="s">
        <v>76</v>
      </c>
      <c r="G32" s="2">
        <v>63</v>
      </c>
      <c r="H32" s="2">
        <v>43</v>
      </c>
      <c r="N32" s="2" t="s">
        <v>145</v>
      </c>
      <c r="O32" s="2" t="s">
        <v>148</v>
      </c>
      <c r="P32">
        <v>3</v>
      </c>
      <c r="Q32">
        <v>6</v>
      </c>
      <c r="S32">
        <f t="shared" si="1"/>
        <v>24</v>
      </c>
      <c r="T32">
        <f t="shared" si="2"/>
        <v>30</v>
      </c>
    </row>
    <row r="33" spans="1:20" x14ac:dyDescent="0.2">
      <c r="A33">
        <v>31</v>
      </c>
      <c r="B33" t="str">
        <f t="shared" si="0"/>
        <v>1F</v>
      </c>
      <c r="C33">
        <v>3</v>
      </c>
      <c r="D33">
        <v>7</v>
      </c>
      <c r="E33" t="s">
        <v>45</v>
      </c>
      <c r="G33" s="2" t="s">
        <v>140</v>
      </c>
      <c r="H33" s="3" t="s">
        <v>140</v>
      </c>
      <c r="N33" s="2" t="s">
        <v>145</v>
      </c>
      <c r="O33" s="2" t="s">
        <v>149</v>
      </c>
      <c r="P33">
        <v>3</v>
      </c>
      <c r="Q33">
        <v>7</v>
      </c>
      <c r="S33">
        <f t="shared" si="1"/>
        <v>24</v>
      </c>
      <c r="T33">
        <f t="shared" si="2"/>
        <v>31</v>
      </c>
    </row>
    <row r="34" spans="1:20" x14ac:dyDescent="0.2">
      <c r="A34">
        <v>32</v>
      </c>
      <c r="B34" t="str">
        <f t="shared" si="0"/>
        <v>20</v>
      </c>
      <c r="C34">
        <v>4</v>
      </c>
      <c r="D34">
        <v>0</v>
      </c>
      <c r="E34">
        <v>4</v>
      </c>
      <c r="F34" t="s">
        <v>80</v>
      </c>
      <c r="G34" s="2">
        <v>34</v>
      </c>
      <c r="H34" s="2">
        <v>24</v>
      </c>
      <c r="N34" s="2" t="s">
        <v>146</v>
      </c>
      <c r="O34" s="2" t="s">
        <v>142</v>
      </c>
      <c r="P34">
        <v>4</v>
      </c>
      <c r="Q34">
        <v>0</v>
      </c>
      <c r="S34">
        <f t="shared" si="1"/>
        <v>32</v>
      </c>
      <c r="T34">
        <f t="shared" si="2"/>
        <v>32</v>
      </c>
    </row>
    <row r="35" spans="1:20" x14ac:dyDescent="0.2">
      <c r="A35">
        <v>33</v>
      </c>
      <c r="B35" t="str">
        <f t="shared" si="0"/>
        <v>21</v>
      </c>
      <c r="C35">
        <v>4</v>
      </c>
      <c r="D35">
        <v>1</v>
      </c>
      <c r="E35" t="s">
        <v>6</v>
      </c>
      <c r="F35" t="s">
        <v>84</v>
      </c>
      <c r="G35" s="2" t="s">
        <v>125</v>
      </c>
      <c r="H35" s="2" t="s">
        <v>126</v>
      </c>
      <c r="N35" s="2" t="s">
        <v>146</v>
      </c>
      <c r="O35" s="2" t="s">
        <v>143</v>
      </c>
      <c r="P35">
        <v>4</v>
      </c>
      <c r="Q35">
        <v>1</v>
      </c>
      <c r="S35">
        <f t="shared" si="1"/>
        <v>32</v>
      </c>
      <c r="T35">
        <f t="shared" si="2"/>
        <v>33</v>
      </c>
    </row>
    <row r="36" spans="1:20" x14ac:dyDescent="0.2">
      <c r="A36">
        <v>34</v>
      </c>
      <c r="B36" t="str">
        <f t="shared" si="0"/>
        <v>22</v>
      </c>
      <c r="C36">
        <v>4</v>
      </c>
      <c r="D36">
        <v>2</v>
      </c>
      <c r="E36" t="s">
        <v>12</v>
      </c>
      <c r="F36" t="s">
        <v>81</v>
      </c>
      <c r="G36" s="2">
        <v>72</v>
      </c>
      <c r="H36" s="2">
        <v>52</v>
      </c>
      <c r="N36" s="2" t="s">
        <v>146</v>
      </c>
      <c r="O36" s="2" t="s">
        <v>144</v>
      </c>
      <c r="P36">
        <v>4</v>
      </c>
      <c r="Q36">
        <v>2</v>
      </c>
      <c r="S36">
        <f t="shared" si="1"/>
        <v>32</v>
      </c>
      <c r="T36">
        <f t="shared" si="2"/>
        <v>34</v>
      </c>
    </row>
    <row r="37" spans="1:20" x14ac:dyDescent="0.2">
      <c r="A37">
        <v>35</v>
      </c>
      <c r="B37" t="str">
        <f t="shared" si="0"/>
        <v>23</v>
      </c>
      <c r="C37">
        <v>4</v>
      </c>
      <c r="D37">
        <v>3</v>
      </c>
      <c r="E37" t="s">
        <v>21</v>
      </c>
      <c r="F37" t="s">
        <v>85</v>
      </c>
      <c r="G37" s="2" t="s">
        <v>128</v>
      </c>
      <c r="H37" s="2" t="s">
        <v>127</v>
      </c>
      <c r="N37" s="2" t="s">
        <v>146</v>
      </c>
      <c r="O37" s="2" t="s">
        <v>145</v>
      </c>
      <c r="P37">
        <v>4</v>
      </c>
      <c r="Q37">
        <v>3</v>
      </c>
      <c r="S37">
        <f t="shared" si="1"/>
        <v>32</v>
      </c>
      <c r="T37">
        <f t="shared" si="2"/>
        <v>35</v>
      </c>
    </row>
    <row r="38" spans="1:20" x14ac:dyDescent="0.2">
      <c r="A38">
        <v>36</v>
      </c>
      <c r="B38" t="str">
        <f t="shared" si="0"/>
        <v>24</v>
      </c>
      <c r="C38">
        <v>4</v>
      </c>
      <c r="D38">
        <v>4</v>
      </c>
      <c r="E38" t="s">
        <v>26</v>
      </c>
      <c r="F38" t="s">
        <v>82</v>
      </c>
      <c r="G38" s="2">
        <v>66</v>
      </c>
      <c r="H38" s="2">
        <v>46</v>
      </c>
      <c r="N38" s="2" t="s">
        <v>146</v>
      </c>
      <c r="O38" s="2" t="s">
        <v>146</v>
      </c>
      <c r="P38">
        <v>4</v>
      </c>
      <c r="Q38">
        <v>4</v>
      </c>
      <c r="S38">
        <f t="shared" si="1"/>
        <v>32</v>
      </c>
      <c r="T38">
        <f t="shared" si="2"/>
        <v>36</v>
      </c>
    </row>
    <row r="39" spans="1:20" x14ac:dyDescent="0.2">
      <c r="A39">
        <v>37</v>
      </c>
      <c r="B39" t="str">
        <f t="shared" si="0"/>
        <v>25</v>
      </c>
      <c r="C39">
        <v>4</v>
      </c>
      <c r="D39">
        <v>5</v>
      </c>
      <c r="E39" t="s">
        <v>34</v>
      </c>
      <c r="G39" s="2" t="s">
        <v>129</v>
      </c>
      <c r="H39" s="2" t="s">
        <v>129</v>
      </c>
      <c r="N39" s="2" t="s">
        <v>146</v>
      </c>
      <c r="O39" s="2" t="s">
        <v>147</v>
      </c>
      <c r="P39">
        <v>4</v>
      </c>
      <c r="Q39">
        <v>5</v>
      </c>
      <c r="S39">
        <f t="shared" si="1"/>
        <v>32</v>
      </c>
      <c r="T39">
        <f t="shared" si="2"/>
        <v>37</v>
      </c>
    </row>
    <row r="40" spans="1:20" x14ac:dyDescent="0.2">
      <c r="A40">
        <v>38</v>
      </c>
      <c r="B40" t="str">
        <f t="shared" si="0"/>
        <v>26</v>
      </c>
      <c r="C40">
        <v>4</v>
      </c>
      <c r="D40">
        <v>6</v>
      </c>
      <c r="E40" t="s">
        <v>38</v>
      </c>
      <c r="F40" t="s">
        <v>83</v>
      </c>
      <c r="G40" s="2">
        <v>76</v>
      </c>
      <c r="H40" s="2">
        <v>56</v>
      </c>
      <c r="N40" s="2" t="s">
        <v>146</v>
      </c>
      <c r="O40" s="2" t="s">
        <v>148</v>
      </c>
      <c r="P40">
        <v>4</v>
      </c>
      <c r="Q40">
        <v>6</v>
      </c>
      <c r="S40">
        <f t="shared" si="1"/>
        <v>32</v>
      </c>
      <c r="T40">
        <f t="shared" si="2"/>
        <v>38</v>
      </c>
    </row>
    <row r="41" spans="1:20" x14ac:dyDescent="0.2">
      <c r="A41">
        <v>39</v>
      </c>
      <c r="B41" t="str">
        <f t="shared" si="0"/>
        <v>27</v>
      </c>
      <c r="C41">
        <v>4</v>
      </c>
      <c r="D41">
        <v>7</v>
      </c>
      <c r="E41" t="s">
        <v>86</v>
      </c>
      <c r="G41" s="2" t="s">
        <v>140</v>
      </c>
      <c r="H41" s="3" t="s">
        <v>140</v>
      </c>
      <c r="N41" s="2" t="s">
        <v>146</v>
      </c>
      <c r="O41" s="2" t="s">
        <v>149</v>
      </c>
      <c r="P41">
        <v>4</v>
      </c>
      <c r="Q41">
        <v>7</v>
      </c>
      <c r="S41">
        <f t="shared" si="1"/>
        <v>32</v>
      </c>
      <c r="T41">
        <f t="shared" si="2"/>
        <v>39</v>
      </c>
    </row>
    <row r="42" spans="1:20" x14ac:dyDescent="0.2">
      <c r="A42">
        <v>40</v>
      </c>
      <c r="B42" t="str">
        <f t="shared" si="0"/>
        <v>28</v>
      </c>
      <c r="C42">
        <v>5</v>
      </c>
      <c r="D42">
        <v>0</v>
      </c>
      <c r="E42">
        <v>5</v>
      </c>
      <c r="F42" t="s">
        <v>87</v>
      </c>
      <c r="G42" s="2">
        <v>35</v>
      </c>
      <c r="H42" s="2">
        <v>25</v>
      </c>
      <c r="N42" s="2" t="s">
        <v>147</v>
      </c>
      <c r="O42" s="2" t="s">
        <v>142</v>
      </c>
      <c r="P42">
        <v>5</v>
      </c>
      <c r="Q42">
        <v>0</v>
      </c>
      <c r="S42">
        <f t="shared" si="1"/>
        <v>40</v>
      </c>
      <c r="T42">
        <f t="shared" si="2"/>
        <v>40</v>
      </c>
    </row>
    <row r="43" spans="1:20" x14ac:dyDescent="0.2">
      <c r="A43">
        <v>41</v>
      </c>
      <c r="B43" t="str">
        <f t="shared" si="0"/>
        <v>29</v>
      </c>
      <c r="C43">
        <v>5</v>
      </c>
      <c r="D43">
        <v>1</v>
      </c>
      <c r="E43" t="s">
        <v>7</v>
      </c>
      <c r="G43" s="2">
        <v>8</v>
      </c>
      <c r="H43" s="2">
        <v>8</v>
      </c>
      <c r="N43" s="2" t="s">
        <v>147</v>
      </c>
      <c r="O43" s="2" t="s">
        <v>143</v>
      </c>
      <c r="P43">
        <v>5</v>
      </c>
      <c r="Q43">
        <v>1</v>
      </c>
      <c r="S43">
        <f t="shared" si="1"/>
        <v>40</v>
      </c>
      <c r="T43">
        <f t="shared" si="2"/>
        <v>41</v>
      </c>
    </row>
    <row r="44" spans="1:20" x14ac:dyDescent="0.2">
      <c r="A44">
        <v>42</v>
      </c>
      <c r="B44" t="str">
        <f t="shared" si="0"/>
        <v>2A</v>
      </c>
      <c r="C44">
        <v>5</v>
      </c>
      <c r="D44">
        <v>2</v>
      </c>
      <c r="E44" t="s">
        <v>13</v>
      </c>
      <c r="F44" t="s">
        <v>88</v>
      </c>
      <c r="G44" s="2">
        <v>74</v>
      </c>
      <c r="H44" s="2">
        <v>54</v>
      </c>
      <c r="N44" s="2" t="s">
        <v>147</v>
      </c>
      <c r="O44" s="2" t="s">
        <v>144</v>
      </c>
      <c r="P44">
        <v>5</v>
      </c>
      <c r="Q44">
        <v>2</v>
      </c>
      <c r="S44">
        <f t="shared" si="1"/>
        <v>40</v>
      </c>
      <c r="T44">
        <f t="shared" si="2"/>
        <v>42</v>
      </c>
    </row>
    <row r="45" spans="1:20" x14ac:dyDescent="0.2">
      <c r="A45">
        <v>43</v>
      </c>
      <c r="B45" t="str">
        <f t="shared" si="0"/>
        <v>2B</v>
      </c>
      <c r="C45">
        <v>5</v>
      </c>
      <c r="D45">
        <v>3</v>
      </c>
      <c r="E45" t="s">
        <v>22</v>
      </c>
      <c r="F45" t="s">
        <v>91</v>
      </c>
      <c r="G45" s="2" t="s">
        <v>132</v>
      </c>
      <c r="H45" s="2" t="s">
        <v>131</v>
      </c>
      <c r="N45" s="2" t="s">
        <v>147</v>
      </c>
      <c r="O45" s="2" t="s">
        <v>145</v>
      </c>
      <c r="P45">
        <v>5</v>
      </c>
      <c r="Q45">
        <v>3</v>
      </c>
      <c r="S45">
        <f t="shared" si="1"/>
        <v>40</v>
      </c>
      <c r="T45">
        <f t="shared" si="2"/>
        <v>43</v>
      </c>
    </row>
    <row r="46" spans="1:20" x14ac:dyDescent="0.2">
      <c r="A46">
        <v>44</v>
      </c>
      <c r="B46" t="str">
        <f t="shared" si="0"/>
        <v>2C</v>
      </c>
      <c r="C46">
        <v>5</v>
      </c>
      <c r="D46">
        <v>4</v>
      </c>
      <c r="E46" t="s">
        <v>27</v>
      </c>
      <c r="F46" t="s">
        <v>89</v>
      </c>
      <c r="G46" s="2">
        <v>67</v>
      </c>
      <c r="H46" s="2">
        <v>47</v>
      </c>
      <c r="N46" s="2" t="s">
        <v>147</v>
      </c>
      <c r="O46" s="2" t="s">
        <v>146</v>
      </c>
      <c r="P46">
        <v>5</v>
      </c>
      <c r="Q46">
        <v>4</v>
      </c>
      <c r="S46">
        <f t="shared" si="1"/>
        <v>40</v>
      </c>
      <c r="T46">
        <f t="shared" si="2"/>
        <v>44</v>
      </c>
    </row>
    <row r="47" spans="1:20" x14ac:dyDescent="0.2">
      <c r="A47">
        <v>45</v>
      </c>
      <c r="B47" t="str">
        <f t="shared" si="0"/>
        <v>2D</v>
      </c>
      <c r="C47">
        <v>5</v>
      </c>
      <c r="D47">
        <v>5</v>
      </c>
      <c r="E47" t="s">
        <v>47</v>
      </c>
      <c r="G47" s="2" t="s">
        <v>140</v>
      </c>
      <c r="H47" s="2" t="s">
        <v>140</v>
      </c>
      <c r="N47" s="2" t="s">
        <v>147</v>
      </c>
      <c r="O47" s="2" t="s">
        <v>147</v>
      </c>
      <c r="P47">
        <v>5</v>
      </c>
      <c r="Q47">
        <v>5</v>
      </c>
      <c r="S47">
        <f t="shared" si="1"/>
        <v>40</v>
      </c>
      <c r="T47">
        <f t="shared" si="2"/>
        <v>45</v>
      </c>
    </row>
    <row r="48" spans="1:20" x14ac:dyDescent="0.2">
      <c r="A48">
        <v>46</v>
      </c>
      <c r="B48" t="str">
        <f t="shared" si="0"/>
        <v>2E</v>
      </c>
      <c r="C48">
        <v>5</v>
      </c>
      <c r="D48">
        <v>6</v>
      </c>
      <c r="E48" t="s">
        <v>40</v>
      </c>
      <c r="F48" t="s">
        <v>90</v>
      </c>
      <c r="G48" s="2">
        <v>62</v>
      </c>
      <c r="H48" s="2">
        <v>42</v>
      </c>
      <c r="N48" s="2" t="s">
        <v>147</v>
      </c>
      <c r="O48" s="2" t="s">
        <v>148</v>
      </c>
      <c r="P48">
        <v>5</v>
      </c>
      <c r="Q48">
        <v>6</v>
      </c>
      <c r="S48">
        <f t="shared" si="1"/>
        <v>40</v>
      </c>
      <c r="T48">
        <f t="shared" si="2"/>
        <v>46</v>
      </c>
    </row>
    <row r="49" spans="1:20" x14ac:dyDescent="0.2">
      <c r="A49">
        <v>47</v>
      </c>
      <c r="B49" t="str">
        <f t="shared" si="0"/>
        <v>2F</v>
      </c>
      <c r="C49">
        <v>5</v>
      </c>
      <c r="D49">
        <v>7</v>
      </c>
      <c r="E49" t="s">
        <v>51</v>
      </c>
      <c r="G49" s="2" t="s">
        <v>140</v>
      </c>
      <c r="H49" s="2" t="s">
        <v>140</v>
      </c>
      <c r="N49" s="2" t="s">
        <v>147</v>
      </c>
      <c r="O49" s="2" t="s">
        <v>149</v>
      </c>
      <c r="P49">
        <v>5</v>
      </c>
      <c r="Q49">
        <v>7</v>
      </c>
      <c r="S49">
        <f t="shared" si="1"/>
        <v>40</v>
      </c>
      <c r="T49">
        <f t="shared" si="2"/>
        <v>47</v>
      </c>
    </row>
    <row r="50" spans="1:20" x14ac:dyDescent="0.2">
      <c r="A50">
        <v>48</v>
      </c>
      <c r="B50" t="str">
        <f t="shared" si="0"/>
        <v>30</v>
      </c>
      <c r="C50">
        <v>6</v>
      </c>
      <c r="D50">
        <v>0</v>
      </c>
      <c r="E50">
        <v>6</v>
      </c>
      <c r="F50" t="s">
        <v>92</v>
      </c>
      <c r="G50" s="2">
        <v>36</v>
      </c>
      <c r="H50" s="2" t="s">
        <v>133</v>
      </c>
      <c r="N50" s="2" t="s">
        <v>148</v>
      </c>
      <c r="O50" s="2" t="s">
        <v>142</v>
      </c>
      <c r="P50">
        <v>6</v>
      </c>
      <c r="Q50">
        <v>0</v>
      </c>
      <c r="S50">
        <f t="shared" si="1"/>
        <v>48</v>
      </c>
      <c r="T50">
        <f t="shared" si="2"/>
        <v>48</v>
      </c>
    </row>
    <row r="51" spans="1:20" x14ac:dyDescent="0.2">
      <c r="A51">
        <v>49</v>
      </c>
      <c r="B51" t="str">
        <f t="shared" si="0"/>
        <v>31</v>
      </c>
      <c r="C51">
        <v>6</v>
      </c>
      <c r="D51">
        <v>1</v>
      </c>
      <c r="G51" s="2" t="s">
        <v>140</v>
      </c>
      <c r="H51" s="2" t="s">
        <v>140</v>
      </c>
      <c r="N51" s="2" t="s">
        <v>148</v>
      </c>
      <c r="O51" s="2" t="s">
        <v>143</v>
      </c>
      <c r="P51">
        <v>6</v>
      </c>
      <c r="Q51">
        <v>1</v>
      </c>
      <c r="S51">
        <f t="shared" si="1"/>
        <v>48</v>
      </c>
      <c r="T51">
        <f t="shared" si="2"/>
        <v>49</v>
      </c>
    </row>
    <row r="52" spans="1:20" x14ac:dyDescent="0.2">
      <c r="A52">
        <v>50</v>
      </c>
      <c r="B52" t="str">
        <f t="shared" si="0"/>
        <v>32</v>
      </c>
      <c r="C52">
        <v>6</v>
      </c>
      <c r="D52">
        <v>2</v>
      </c>
      <c r="E52" t="s">
        <v>15</v>
      </c>
      <c r="F52" t="s">
        <v>93</v>
      </c>
      <c r="G52" s="2">
        <v>79</v>
      </c>
      <c r="H52" s="2">
        <v>59</v>
      </c>
      <c r="N52" s="2" t="s">
        <v>148</v>
      </c>
      <c r="O52" s="2" t="s">
        <v>144</v>
      </c>
      <c r="P52">
        <v>6</v>
      </c>
      <c r="Q52">
        <v>2</v>
      </c>
      <c r="S52">
        <f t="shared" si="1"/>
        <v>48</v>
      </c>
      <c r="T52">
        <f t="shared" si="2"/>
        <v>50</v>
      </c>
    </row>
    <row r="53" spans="1:20" x14ac:dyDescent="0.2">
      <c r="A53">
        <v>51</v>
      </c>
      <c r="B53" t="str">
        <f t="shared" si="0"/>
        <v>33</v>
      </c>
      <c r="C53">
        <v>6</v>
      </c>
      <c r="D53">
        <v>3</v>
      </c>
      <c r="E53" t="s">
        <v>49</v>
      </c>
      <c r="G53" s="2" t="s">
        <v>140</v>
      </c>
      <c r="H53" s="2" t="s">
        <v>140</v>
      </c>
      <c r="N53" s="2" t="s">
        <v>148</v>
      </c>
      <c r="O53" s="2" t="s">
        <v>145</v>
      </c>
      <c r="P53">
        <v>6</v>
      </c>
      <c r="Q53">
        <v>3</v>
      </c>
      <c r="S53">
        <f t="shared" si="1"/>
        <v>48</v>
      </c>
      <c r="T53">
        <f t="shared" si="2"/>
        <v>51</v>
      </c>
    </row>
    <row r="54" spans="1:20" x14ac:dyDescent="0.2">
      <c r="A54">
        <v>52</v>
      </c>
      <c r="B54" t="str">
        <f t="shared" si="0"/>
        <v>34</v>
      </c>
      <c r="C54">
        <v>6</v>
      </c>
      <c r="D54">
        <v>4</v>
      </c>
      <c r="E54" t="s">
        <v>28</v>
      </c>
      <c r="F54" t="s">
        <v>94</v>
      </c>
      <c r="G54" s="2">
        <v>68</v>
      </c>
      <c r="H54" s="2">
        <v>48</v>
      </c>
      <c r="N54" s="2" t="s">
        <v>148</v>
      </c>
      <c r="O54" s="2" t="s">
        <v>146</v>
      </c>
      <c r="P54">
        <v>6</v>
      </c>
      <c r="Q54">
        <v>4</v>
      </c>
      <c r="S54">
        <f t="shared" si="1"/>
        <v>48</v>
      </c>
      <c r="T54">
        <f t="shared" si="2"/>
        <v>52</v>
      </c>
    </row>
    <row r="55" spans="1:20" x14ac:dyDescent="0.2">
      <c r="A55">
        <v>53</v>
      </c>
      <c r="B55" t="str">
        <f t="shared" si="0"/>
        <v>35</v>
      </c>
      <c r="C55">
        <v>6</v>
      </c>
      <c r="D55">
        <v>5</v>
      </c>
      <c r="E55" t="s">
        <v>46</v>
      </c>
      <c r="G55" s="2" t="s">
        <v>140</v>
      </c>
      <c r="H55" s="2" t="s">
        <v>140</v>
      </c>
      <c r="N55" s="2" t="s">
        <v>148</v>
      </c>
      <c r="O55" s="2" t="s">
        <v>147</v>
      </c>
      <c r="P55">
        <v>6</v>
      </c>
      <c r="Q55">
        <v>5</v>
      </c>
      <c r="S55">
        <f t="shared" si="1"/>
        <v>48</v>
      </c>
      <c r="T55">
        <f t="shared" si="2"/>
        <v>53</v>
      </c>
    </row>
    <row r="56" spans="1:20" x14ac:dyDescent="0.2">
      <c r="A56">
        <v>54</v>
      </c>
      <c r="B56" t="str">
        <f t="shared" si="0"/>
        <v>36</v>
      </c>
      <c r="C56">
        <v>6</v>
      </c>
      <c r="D56">
        <v>6</v>
      </c>
      <c r="E56" t="s">
        <v>39</v>
      </c>
      <c r="F56" t="s">
        <v>95</v>
      </c>
      <c r="G56" s="2" t="s">
        <v>135</v>
      </c>
      <c r="H56" s="2" t="s">
        <v>134</v>
      </c>
      <c r="N56" s="2" t="s">
        <v>148</v>
      </c>
      <c r="O56" s="2" t="s">
        <v>148</v>
      </c>
      <c r="P56">
        <v>6</v>
      </c>
      <c r="Q56">
        <v>6</v>
      </c>
      <c r="S56">
        <f t="shared" si="1"/>
        <v>48</v>
      </c>
      <c r="T56">
        <f t="shared" si="2"/>
        <v>54</v>
      </c>
    </row>
    <row r="57" spans="1:20" x14ac:dyDescent="0.2">
      <c r="A57">
        <v>55</v>
      </c>
      <c r="B57" t="str">
        <f t="shared" si="0"/>
        <v>37</v>
      </c>
      <c r="C57">
        <v>6</v>
      </c>
      <c r="D57">
        <v>7</v>
      </c>
      <c r="E57" t="s">
        <v>50</v>
      </c>
      <c r="G57" s="2" t="s">
        <v>140</v>
      </c>
      <c r="H57" s="2" t="s">
        <v>140</v>
      </c>
      <c r="N57" s="2" t="s">
        <v>148</v>
      </c>
      <c r="O57" s="2" t="s">
        <v>149</v>
      </c>
      <c r="P57">
        <v>6</v>
      </c>
      <c r="Q57">
        <v>7</v>
      </c>
      <c r="S57">
        <f t="shared" si="1"/>
        <v>48</v>
      </c>
      <c r="T57">
        <f t="shared" si="2"/>
        <v>55</v>
      </c>
    </row>
    <row r="58" spans="1:20" x14ac:dyDescent="0.2">
      <c r="A58">
        <v>56</v>
      </c>
      <c r="B58" t="str">
        <f t="shared" si="0"/>
        <v>38</v>
      </c>
      <c r="C58">
        <v>7</v>
      </c>
      <c r="D58">
        <v>0</v>
      </c>
      <c r="E58">
        <v>7</v>
      </c>
      <c r="F58" t="s">
        <v>96</v>
      </c>
      <c r="G58" s="2">
        <v>37</v>
      </c>
      <c r="H58" s="2">
        <v>26</v>
      </c>
      <c r="N58" s="2" t="s">
        <v>149</v>
      </c>
      <c r="O58" s="2" t="s">
        <v>142</v>
      </c>
      <c r="P58">
        <v>7</v>
      </c>
      <c r="Q58">
        <v>0</v>
      </c>
      <c r="S58">
        <f t="shared" si="1"/>
        <v>56</v>
      </c>
      <c r="T58">
        <f t="shared" si="2"/>
        <v>56</v>
      </c>
    </row>
    <row r="59" spans="1:20" x14ac:dyDescent="0.2">
      <c r="A59">
        <v>57</v>
      </c>
      <c r="B59" t="str">
        <f t="shared" si="0"/>
        <v>39</v>
      </c>
      <c r="C59">
        <v>7</v>
      </c>
      <c r="D59">
        <v>1</v>
      </c>
      <c r="G59" s="2" t="s">
        <v>140</v>
      </c>
      <c r="H59" s="2" t="s">
        <v>140</v>
      </c>
      <c r="N59" s="2" t="s">
        <v>149</v>
      </c>
      <c r="O59" s="2" t="s">
        <v>143</v>
      </c>
      <c r="P59">
        <v>7</v>
      </c>
      <c r="Q59">
        <v>1</v>
      </c>
      <c r="S59">
        <f t="shared" si="1"/>
        <v>56</v>
      </c>
      <c r="T59">
        <f t="shared" si="2"/>
        <v>57</v>
      </c>
    </row>
    <row r="60" spans="1:20" x14ac:dyDescent="0.2">
      <c r="A60">
        <v>58</v>
      </c>
      <c r="B60" t="str">
        <f t="shared" si="0"/>
        <v>3A</v>
      </c>
      <c r="C60">
        <v>7</v>
      </c>
      <c r="D60">
        <v>2</v>
      </c>
      <c r="E60" t="s">
        <v>16</v>
      </c>
      <c r="F60" t="s">
        <v>97</v>
      </c>
      <c r="G60" s="2">
        <v>75</v>
      </c>
      <c r="H60" s="2">
        <v>55</v>
      </c>
      <c r="N60" s="2" t="s">
        <v>149</v>
      </c>
      <c r="O60" s="2" t="s">
        <v>144</v>
      </c>
      <c r="P60">
        <v>7</v>
      </c>
      <c r="Q60">
        <v>2</v>
      </c>
      <c r="S60">
        <f t="shared" si="1"/>
        <v>56</v>
      </c>
      <c r="T60">
        <f t="shared" si="2"/>
        <v>58</v>
      </c>
    </row>
    <row r="61" spans="1:20" x14ac:dyDescent="0.2">
      <c r="A61">
        <v>59</v>
      </c>
      <c r="B61" t="str">
        <f t="shared" si="0"/>
        <v>3B</v>
      </c>
      <c r="C61">
        <v>7</v>
      </c>
      <c r="D61">
        <v>3</v>
      </c>
      <c r="G61" s="2" t="s">
        <v>140</v>
      </c>
      <c r="H61" s="2" t="s">
        <v>140</v>
      </c>
      <c r="N61" s="2" t="s">
        <v>149</v>
      </c>
      <c r="O61" s="2" t="s">
        <v>145</v>
      </c>
      <c r="P61">
        <v>7</v>
      </c>
      <c r="Q61">
        <v>3</v>
      </c>
      <c r="S61">
        <f t="shared" si="1"/>
        <v>56</v>
      </c>
      <c r="T61">
        <f t="shared" si="2"/>
        <v>59</v>
      </c>
    </row>
    <row r="62" spans="1:20" x14ac:dyDescent="0.2">
      <c r="A62">
        <v>60</v>
      </c>
      <c r="B62" t="str">
        <f t="shared" si="0"/>
        <v>3C</v>
      </c>
      <c r="C62">
        <v>7</v>
      </c>
      <c r="D62">
        <v>4</v>
      </c>
      <c r="E62" t="s">
        <v>29</v>
      </c>
      <c r="F62" t="s">
        <v>98</v>
      </c>
      <c r="G62" s="2" t="s">
        <v>137</v>
      </c>
      <c r="H62" s="2" t="s">
        <v>136</v>
      </c>
      <c r="N62" s="2" t="s">
        <v>149</v>
      </c>
      <c r="O62" s="2" t="s">
        <v>146</v>
      </c>
      <c r="P62">
        <v>7</v>
      </c>
      <c r="Q62">
        <v>4</v>
      </c>
      <c r="S62">
        <f t="shared" si="1"/>
        <v>56</v>
      </c>
      <c r="T62">
        <f t="shared" si="2"/>
        <v>60</v>
      </c>
    </row>
    <row r="63" spans="1:20" x14ac:dyDescent="0.2">
      <c r="A63">
        <v>61</v>
      </c>
      <c r="B63" t="str">
        <f t="shared" si="0"/>
        <v>3D</v>
      </c>
      <c r="C63">
        <v>7</v>
      </c>
      <c r="D63">
        <v>5</v>
      </c>
      <c r="E63" t="s">
        <v>48</v>
      </c>
      <c r="G63" s="2">
        <v>20</v>
      </c>
      <c r="H63" s="2">
        <v>20</v>
      </c>
      <c r="N63" s="2" t="s">
        <v>149</v>
      </c>
      <c r="O63" s="2" t="s">
        <v>147</v>
      </c>
      <c r="P63">
        <v>7</v>
      </c>
      <c r="Q63">
        <v>5</v>
      </c>
      <c r="S63">
        <f t="shared" si="1"/>
        <v>56</v>
      </c>
      <c r="T63">
        <f t="shared" si="2"/>
        <v>61</v>
      </c>
    </row>
    <row r="64" spans="1:20" x14ac:dyDescent="0.2">
      <c r="A64">
        <v>62</v>
      </c>
      <c r="B64" t="str">
        <f t="shared" si="0"/>
        <v>3E</v>
      </c>
      <c r="C64">
        <v>7</v>
      </c>
      <c r="D64">
        <v>6</v>
      </c>
      <c r="E64" t="s">
        <v>41</v>
      </c>
      <c r="F64" t="s">
        <v>99</v>
      </c>
      <c r="G64" s="2" t="s">
        <v>139</v>
      </c>
      <c r="H64" s="2" t="s">
        <v>138</v>
      </c>
      <c r="N64" s="2" t="s">
        <v>149</v>
      </c>
      <c r="O64" s="2" t="s">
        <v>148</v>
      </c>
      <c r="P64">
        <v>7</v>
      </c>
      <c r="Q64">
        <v>6</v>
      </c>
      <c r="S64">
        <f t="shared" si="1"/>
        <v>56</v>
      </c>
      <c r="T64">
        <f t="shared" si="2"/>
        <v>62</v>
      </c>
    </row>
    <row r="65" spans="1:20" x14ac:dyDescent="0.2">
      <c r="A65">
        <v>63</v>
      </c>
      <c r="B65" t="str">
        <f t="shared" si="0"/>
        <v>3F</v>
      </c>
      <c r="C65">
        <v>7</v>
      </c>
      <c r="D65">
        <v>7</v>
      </c>
      <c r="G65" s="3" t="s">
        <v>140</v>
      </c>
      <c r="H65" s="3" t="s">
        <v>140</v>
      </c>
      <c r="N65" s="2" t="s">
        <v>149</v>
      </c>
      <c r="O65" s="2" t="s">
        <v>149</v>
      </c>
      <c r="P65">
        <v>7</v>
      </c>
      <c r="Q65">
        <v>7</v>
      </c>
      <c r="S65">
        <f t="shared" si="1"/>
        <v>56</v>
      </c>
      <c r="T65">
        <f t="shared" si="2"/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Yamato Rusche</dc:creator>
  <cp:lastModifiedBy>Yamato Rusche</cp:lastModifiedBy>
  <dcterms:created xsi:type="dcterms:W3CDTF">2025-08-07T16:05:09Z</dcterms:created>
  <dcterms:modified xsi:type="dcterms:W3CDTF">2025-08-11T08:29:19Z</dcterms:modified>
</cp:coreProperties>
</file>